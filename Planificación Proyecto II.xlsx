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u365-my.sharepoint.com/personal/alvaro_gonzalezgomez1_usp_ceu_es/Documents/SEGUNDO/Segundo cuatri/Proyecto II/Presentacion/"/>
    </mc:Choice>
  </mc:AlternateContent>
  <xr:revisionPtr revIDLastSave="1027" documentId="13_ncr:1_{0F8D526F-B66D-47AA-BD71-3E5B5D73A9FD}" xr6:coauthVersionLast="47" xr6:coauthVersionMax="47" xr10:uidLastSave="{2A8A36C0-47FA-4F83-B9AA-AD75695ADF02}"/>
  <bookViews>
    <workbookView xWindow="-110" yWindow="-110" windowWidth="25820" windowHeight="15500" xr2:uid="{8F334F76-B9F4-4E20-8F0C-F37DBC6C327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" l="1"/>
  <c r="F26" i="1"/>
  <c r="F27" i="1"/>
  <c r="F23" i="1"/>
  <c r="F21" i="1"/>
  <c r="F19" i="1"/>
  <c r="F20" i="1"/>
  <c r="F11" i="1"/>
  <c r="F12" i="1"/>
  <c r="F13" i="1"/>
  <c r="F14" i="1"/>
  <c r="F15" i="1"/>
  <c r="F16" i="1"/>
  <c r="F9" i="1"/>
  <c r="F18" i="1"/>
  <c r="F24" i="1"/>
  <c r="F10" i="1"/>
  <c r="F8" i="1"/>
  <c r="E4" i="1"/>
  <c r="H5" i="1" s="1"/>
  <c r="H4" i="1" s="1"/>
  <c r="I5" i="1" l="1"/>
  <c r="I6" i="1" s="1"/>
  <c r="H6" i="1"/>
  <c r="J5" i="1" l="1"/>
  <c r="J6" i="1" s="1"/>
  <c r="K5" i="1" l="1"/>
  <c r="L5" i="1" s="1"/>
  <c r="K6" i="1" l="1"/>
  <c r="M5" i="1"/>
  <c r="L6" i="1"/>
  <c r="M6" i="1" l="1"/>
  <c r="N5" i="1"/>
  <c r="N6" i="1" l="1"/>
  <c r="O5" i="1"/>
  <c r="P5" i="1" l="1"/>
  <c r="O4" i="1"/>
  <c r="O6" i="1"/>
  <c r="P6" i="1" l="1"/>
  <c r="Q5" i="1"/>
  <c r="Q6" i="1" l="1"/>
  <c r="R5" i="1"/>
  <c r="S5" i="1" l="1"/>
  <c r="R6" i="1"/>
  <c r="T5" i="1" l="1"/>
  <c r="S6" i="1"/>
  <c r="T6" i="1" l="1"/>
  <c r="U5" i="1"/>
  <c r="V5" i="1" l="1"/>
  <c r="U6" i="1"/>
  <c r="V4" i="1" l="1"/>
  <c r="V6" i="1"/>
  <c r="W5" i="1"/>
  <c r="W6" i="1" l="1"/>
  <c r="X5" i="1"/>
  <c r="Y5" i="1" l="1"/>
  <c r="X6" i="1"/>
  <c r="Z5" i="1" l="1"/>
  <c r="Y6" i="1"/>
  <c r="AA5" i="1" l="1"/>
  <c r="Z6" i="1"/>
  <c r="AB5" i="1" l="1"/>
  <c r="AA6" i="1"/>
  <c r="AC5" i="1" l="1"/>
  <c r="AB6" i="1"/>
  <c r="AC6" i="1" l="1"/>
  <c r="AC4" i="1"/>
  <c r="AD5" i="1"/>
  <c r="AD6" i="1" l="1"/>
  <c r="AE5" i="1"/>
  <c r="AE6" i="1" l="1"/>
  <c r="AF5" i="1"/>
  <c r="AF6" i="1" l="1"/>
  <c r="AG5" i="1"/>
  <c r="AH5" i="1" l="1"/>
  <c r="AG6" i="1"/>
  <c r="AI5" i="1" l="1"/>
  <c r="AI6" i="1" s="1"/>
  <c r="AH6" i="1"/>
</calcChain>
</file>

<file path=xl/sharedStrings.xml><?xml version="1.0" encoding="utf-8"?>
<sst xmlns="http://schemas.openxmlformats.org/spreadsheetml/2006/main" count="57" uniqueCount="39">
  <si>
    <t xml:space="preserve">PROYECTO II </t>
  </si>
  <si>
    <t xml:space="preserve"> =y(G$5&gt;=$D7;G$5&lt;=$E7)</t>
  </si>
  <si>
    <t>PARTICIPANTES: Álvaro González, Alejandro Arroyo, Diego Láriz e Iñigo Utande</t>
  </si>
  <si>
    <t xml:space="preserve"> =Y(G$5&gt;=$D7;G$5&lt;=((($E7-$D7+1)*$C7)+$D7-1))</t>
  </si>
  <si>
    <t xml:space="preserve"> =((($E7-$D7+1)*$C7)+$D7-1)</t>
  </si>
  <si>
    <t xml:space="preserve">Cursor de dias </t>
  </si>
  <si>
    <t>Álvaro</t>
  </si>
  <si>
    <t>INICIO DEL PROYECTO</t>
  </si>
  <si>
    <t>Alejandro</t>
  </si>
  <si>
    <t>TAREA</t>
  </si>
  <si>
    <t>RESPONSABLE</t>
  </si>
  <si>
    <t>PROGRESO</t>
  </si>
  <si>
    <t>INICIO</t>
  </si>
  <si>
    <t>FIN</t>
  </si>
  <si>
    <t>TOTAL DIAS</t>
  </si>
  <si>
    <t>Iñigo</t>
  </si>
  <si>
    <t>FASE 1</t>
  </si>
  <si>
    <t>Diego</t>
  </si>
  <si>
    <t>Elección de tema</t>
  </si>
  <si>
    <t>Todos</t>
  </si>
  <si>
    <t>Objetivos del proyecto</t>
  </si>
  <si>
    <t>Objetivos Smart</t>
  </si>
  <si>
    <t>Distribución de roles</t>
  </si>
  <si>
    <t xml:space="preserve">Requerimientos </t>
  </si>
  <si>
    <t>Alcance</t>
  </si>
  <si>
    <t>Eleccion de datasets</t>
  </si>
  <si>
    <t>EDT</t>
  </si>
  <si>
    <t>Presentación intermedia</t>
  </si>
  <si>
    <t>FASE 2</t>
  </si>
  <si>
    <t>Definición de escenarios</t>
  </si>
  <si>
    <t>Programación del modelo predictivo</t>
  </si>
  <si>
    <t>Simulación de escenarios</t>
  </si>
  <si>
    <t>Crear dataset financiero</t>
  </si>
  <si>
    <t>FASE 3</t>
  </si>
  <si>
    <t>Riesgos</t>
  </si>
  <si>
    <t>Dificultades</t>
  </si>
  <si>
    <t>Memoria</t>
  </si>
  <si>
    <t xml:space="preserve">Presentación final </t>
  </si>
  <si>
    <t>Next 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</si>
</sst>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dd/mm/yyyy"/>
    <numFmt numFmtId="165" formatCode="dd"/>
  </numFmts>
  <fonts count="1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C1652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ADLaM Display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DLaM Display"/>
    </font>
    <font>
      <sz val="11"/>
      <color rgb="FFFF0000"/>
      <name val="Aptos Narrow"/>
      <family val="2"/>
      <scheme val="minor"/>
    </font>
    <font>
      <sz val="11"/>
      <color theme="1"/>
      <name val="Arial"/>
    </font>
    <font>
      <sz val="11"/>
      <color rgb="FF0C1652"/>
      <name val="Calibri"/>
    </font>
    <font>
      <b/>
      <sz val="11"/>
      <color rgb="FF0C1652"/>
      <name val="Calibri"/>
    </font>
    <font>
      <sz val="11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9.9948118533890809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2" tint="-9.9948118533890809E-2"/>
      </bottom>
      <diagonal/>
    </border>
    <border>
      <left style="thin">
        <color theme="0" tint="-0.14996795556505021"/>
      </left>
      <right/>
      <top style="thin">
        <color theme="0"/>
      </top>
      <bottom style="thin">
        <color theme="2" tint="-9.9948118533890809E-2"/>
      </bottom>
      <diagonal/>
    </border>
    <border>
      <left style="thin">
        <color theme="0" tint="-0.14996795556505021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0" tint="-0.14996795556505021"/>
      </right>
      <top style="thin">
        <color theme="0"/>
      </top>
      <bottom style="thin">
        <color theme="2" tint="-9.9948118533890809E-2"/>
      </bottom>
      <diagonal/>
    </border>
    <border>
      <left/>
      <right style="thin">
        <color theme="0" tint="-0.14996795556505021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65" fontId="0" fillId="5" borderId="5" xfId="0" applyNumberFormat="1" applyFill="1" applyBorder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5" borderId="6" xfId="0" applyNumberFormat="1" applyFill="1" applyBorder="1" applyAlignment="1">
      <alignment horizontal="center" vertical="center"/>
    </xf>
    <xf numFmtId="0" fontId="0" fillId="0" borderId="7" xfId="0" applyBorder="1"/>
    <xf numFmtId="9" fontId="0" fillId="0" borderId="7" xfId="0" applyNumberFormat="1" applyBorder="1" applyAlignment="1">
      <alignment horizont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1" fillId="2" borderId="10" xfId="0" applyFont="1" applyFill="1" applyBorder="1" applyAlignment="1">
      <alignment horizontal="center" vertical="center"/>
    </xf>
    <xf numFmtId="0" fontId="1" fillId="2" borderId="10" xfId="0" quotePrefix="1" applyFont="1" applyFill="1" applyBorder="1" applyAlignment="1">
      <alignment horizontal="center" vertical="center"/>
    </xf>
    <xf numFmtId="0" fontId="3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7" xfId="0" applyBorder="1" applyAlignment="1">
      <alignment wrapText="1"/>
    </xf>
    <xf numFmtId="0" fontId="4" fillId="8" borderId="9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center" vertical="center"/>
    </xf>
    <xf numFmtId="9" fontId="0" fillId="8" borderId="9" xfId="0" applyNumberFormat="1" applyFill="1" applyBorder="1" applyAlignment="1">
      <alignment horizontal="center"/>
    </xf>
    <xf numFmtId="14" fontId="0" fillId="8" borderId="9" xfId="0" applyNumberForma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9" fontId="0" fillId="8" borderId="7" xfId="0" applyNumberFormat="1" applyFill="1" applyBorder="1" applyAlignment="1">
      <alignment horizontal="center"/>
    </xf>
    <xf numFmtId="14" fontId="0" fillId="8" borderId="7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7" xfId="0" applyFill="1" applyBorder="1"/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14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9" borderId="17" xfId="0" applyFont="1" applyFill="1" applyBorder="1"/>
    <xf numFmtId="0" fontId="3" fillId="9" borderId="0" xfId="0" applyFont="1" applyFill="1"/>
    <xf numFmtId="0" fontId="3" fillId="9" borderId="18" xfId="0" applyFont="1" applyFill="1" applyBorder="1"/>
    <xf numFmtId="0" fontId="10" fillId="0" borderId="0" xfId="0" applyFont="1"/>
    <xf numFmtId="0" fontId="11" fillId="0" borderId="7" xfId="0" applyFont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9" borderId="19" xfId="0" applyFont="1" applyFill="1" applyBorder="1"/>
    <xf numFmtId="0" fontId="6" fillId="6" borderId="23" xfId="0" applyFont="1" applyFill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left" vertical="center"/>
    </xf>
    <xf numFmtId="164" fontId="2" fillId="5" borderId="3" xfId="0" applyNumberFormat="1" applyFont="1" applyFill="1" applyBorder="1" applyAlignment="1">
      <alignment horizontal="left" vertical="center"/>
    </xf>
    <xf numFmtId="164" fontId="2" fillId="5" borderId="4" xfId="0" applyNumberFormat="1" applyFont="1" applyFill="1" applyBorder="1" applyAlignment="1">
      <alignment horizontal="left" vertical="center"/>
    </xf>
    <xf numFmtId="0" fontId="7" fillId="7" borderId="8" xfId="0" applyFont="1" applyFill="1" applyBorder="1" applyAlignment="1">
      <alignment horizont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2" fillId="5" borderId="5" xfId="0" applyNumberFormat="1" applyFont="1" applyFill="1" applyBorder="1" applyAlignment="1">
      <alignment horizontal="left" vertical="center"/>
    </xf>
    <xf numFmtId="164" fontId="2" fillId="5" borderId="0" xfId="0" applyNumberFormat="1" applyFont="1" applyFill="1" applyAlignment="1">
      <alignment horizontal="left" vertical="center"/>
    </xf>
    <xf numFmtId="164" fontId="2" fillId="5" borderId="6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ill>
        <patternFill>
          <bgColor theme="2" tint="-0.499984740745262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croll" dx="31" fmlaLink="$D$4" horiz="1" max="150" page="10" val="69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</xdr:colOff>
          <xdr:row>3</xdr:row>
          <xdr:rowOff>6350</xdr:rowOff>
        </xdr:from>
        <xdr:to>
          <xdr:col>4</xdr:col>
          <xdr:colOff>768350</xdr:colOff>
          <xdr:row>4</xdr:row>
          <xdr:rowOff>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373830</xdr:colOff>
      <xdr:row>3</xdr:row>
      <xdr:rowOff>133146</xdr:rowOff>
    </xdr:from>
    <xdr:to>
      <xdr:col>2</xdr:col>
      <xdr:colOff>773266</xdr:colOff>
      <xdr:row>3</xdr:row>
      <xdr:rowOff>133146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606C398-C1C6-3EB2-6CE4-323163DAC426}"/>
            </a:ext>
          </a:extLst>
        </xdr:cNvPr>
        <xdr:cNvCxnSpPr/>
      </xdr:nvCxnSpPr>
      <xdr:spPr>
        <a:xfrm>
          <a:off x="3108427" y="696452"/>
          <a:ext cx="399436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EB5A-A26C-4F23-A05F-80B1A79A0524}">
  <dimension ref="A1:AL45"/>
  <sheetViews>
    <sheetView showGridLines="0" tabSelected="1" zoomScale="105" zoomScaleNormal="100" workbookViewId="0">
      <selection activeCell="E15" sqref="E15"/>
    </sheetView>
  </sheetViews>
  <sheetFormatPr baseColWidth="10" defaultColWidth="11.453125" defaultRowHeight="14.5" x14ac:dyDescent="0.35"/>
  <cols>
    <col min="1" max="1" width="44.1796875" bestFit="1" customWidth="1"/>
    <col min="2" max="2" width="15.54296875" customWidth="1"/>
    <col min="3" max="5" width="11.54296875" customWidth="1"/>
    <col min="6" max="6" width="10.1796875" bestFit="1" customWidth="1"/>
    <col min="7" max="7" width="10.1796875" customWidth="1"/>
    <col min="8" max="35" width="3.54296875" customWidth="1"/>
  </cols>
  <sheetData>
    <row r="1" spans="1:38" ht="45" customHeight="1" x14ac:dyDescent="0.35">
      <c r="A1" s="50" t="s">
        <v>0</v>
      </c>
      <c r="B1" s="51"/>
      <c r="C1" s="51"/>
      <c r="D1" s="51"/>
      <c r="G1" s="35"/>
      <c r="H1" s="34" t="s">
        <v>1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38" x14ac:dyDescent="0.35">
      <c r="A2" s="55" t="s">
        <v>2</v>
      </c>
      <c r="B2" s="55"/>
      <c r="C2" s="55"/>
      <c r="D2" s="55"/>
      <c r="G2" s="35"/>
      <c r="H2" s="35" t="s">
        <v>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</row>
    <row r="3" spans="1:38" x14ac:dyDescent="0.35">
      <c r="G3" s="35"/>
      <c r="H3" s="36" t="s">
        <v>4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49"/>
      <c r="AJ3" s="37"/>
      <c r="AK3" s="37"/>
      <c r="AL3" s="37"/>
    </row>
    <row r="4" spans="1:38" ht="20.149999999999999" customHeight="1" x14ac:dyDescent="0.35">
      <c r="B4" s="56" t="s">
        <v>5</v>
      </c>
      <c r="C4" s="57"/>
      <c r="D4" s="33">
        <v>69</v>
      </c>
      <c r="E4" s="32">
        <f>D5+D4</f>
        <v>46132</v>
      </c>
      <c r="H4" s="60">
        <f>H5</f>
        <v>46132</v>
      </c>
      <c r="I4" s="61"/>
      <c r="J4" s="61"/>
      <c r="K4" s="61"/>
      <c r="L4" s="61"/>
      <c r="M4" s="61"/>
      <c r="N4" s="62"/>
      <c r="O4" s="60">
        <f t="shared" ref="O4" si="0">O5</f>
        <v>46139</v>
      </c>
      <c r="P4" s="61"/>
      <c r="Q4" s="61"/>
      <c r="R4" s="61"/>
      <c r="S4" s="61"/>
      <c r="T4" s="53"/>
      <c r="U4" s="54"/>
      <c r="V4" s="52">
        <f t="shared" ref="V4" si="1">V5</f>
        <v>46146</v>
      </c>
      <c r="W4" s="53"/>
      <c r="X4" s="53"/>
      <c r="Y4" s="53"/>
      <c r="Z4" s="53"/>
      <c r="AA4" s="53"/>
      <c r="AB4" s="54"/>
      <c r="AC4" s="52">
        <f t="shared" ref="AC4" si="2">AC5</f>
        <v>46153</v>
      </c>
      <c r="AD4" s="53"/>
      <c r="AE4" s="53"/>
      <c r="AF4" s="53"/>
      <c r="AG4" s="53"/>
      <c r="AH4" s="53"/>
      <c r="AI4" s="54"/>
      <c r="AJ4" s="11"/>
      <c r="AK4" s="11" t="s">
        <v>6</v>
      </c>
      <c r="AL4" s="37"/>
    </row>
    <row r="5" spans="1:38" x14ac:dyDescent="0.35">
      <c r="B5" s="59" t="s">
        <v>7</v>
      </c>
      <c r="C5" s="59"/>
      <c r="D5" s="58">
        <v>46063</v>
      </c>
      <c r="E5" s="58"/>
      <c r="H5" s="1">
        <f>E4</f>
        <v>46132</v>
      </c>
      <c r="I5" s="2">
        <f>H5+1</f>
        <v>46133</v>
      </c>
      <c r="J5" s="2">
        <f>I5+1</f>
        <v>46134</v>
      </c>
      <c r="K5" s="2">
        <f>J5+1</f>
        <v>46135</v>
      </c>
      <c r="L5" s="2">
        <f t="shared" ref="L5:W5" si="3">K5+1</f>
        <v>46136</v>
      </c>
      <c r="M5" s="2">
        <f t="shared" si="3"/>
        <v>46137</v>
      </c>
      <c r="N5" s="3">
        <f t="shared" si="3"/>
        <v>46138</v>
      </c>
      <c r="O5" s="1">
        <f t="shared" ref="O5:P5" si="4">N5+1</f>
        <v>46139</v>
      </c>
      <c r="P5" s="2">
        <f t="shared" si="4"/>
        <v>46140</v>
      </c>
      <c r="Q5" s="2">
        <f>P5+1</f>
        <v>46141</v>
      </c>
      <c r="R5" s="2">
        <f>Q5+1</f>
        <v>46142</v>
      </c>
      <c r="S5" s="2">
        <f>R5+1</f>
        <v>46143</v>
      </c>
      <c r="T5" s="2">
        <f>S5+1</f>
        <v>46144</v>
      </c>
      <c r="U5" s="3">
        <f t="shared" si="3"/>
        <v>46145</v>
      </c>
      <c r="V5" s="1">
        <f t="shared" si="3"/>
        <v>46146</v>
      </c>
      <c r="W5" s="2">
        <f t="shared" si="3"/>
        <v>46147</v>
      </c>
      <c r="X5" s="2">
        <f>W5+1</f>
        <v>46148</v>
      </c>
      <c r="Y5" s="2">
        <f>X5+1</f>
        <v>46149</v>
      </c>
      <c r="Z5" s="2">
        <f>Y5+1</f>
        <v>46150</v>
      </c>
      <c r="AA5" s="2">
        <f t="shared" ref="AA5:AD5" si="5">Z5+1</f>
        <v>46151</v>
      </c>
      <c r="AB5" s="3">
        <f t="shared" si="5"/>
        <v>46152</v>
      </c>
      <c r="AC5" s="1">
        <f t="shared" si="5"/>
        <v>46153</v>
      </c>
      <c r="AD5" s="2">
        <f t="shared" si="5"/>
        <v>46154</v>
      </c>
      <c r="AE5" s="2">
        <f>AD5+1</f>
        <v>46155</v>
      </c>
      <c r="AF5" s="2">
        <f>AE5+1</f>
        <v>46156</v>
      </c>
      <c r="AG5" s="2">
        <f>AF5+1</f>
        <v>46157</v>
      </c>
      <c r="AH5" s="2">
        <f>AG5+1</f>
        <v>46158</v>
      </c>
      <c r="AI5" s="3">
        <f t="shared" ref="AI5" si="6">AH5+1</f>
        <v>46159</v>
      </c>
      <c r="AJ5" s="11"/>
      <c r="AK5" s="11" t="s">
        <v>8</v>
      </c>
      <c r="AL5" s="37"/>
    </row>
    <row r="6" spans="1:38" ht="20.149999999999999" customHeight="1" x14ac:dyDescent="0.35">
      <c r="A6" s="9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25"/>
      <c r="H6" s="10" t="str">
        <f>UPPER(LEFT(TEXT(H5,"ddd"),1))</f>
        <v>L</v>
      </c>
      <c r="I6" s="10" t="str">
        <f t="shared" ref="I6:AI6" si="7">UPPER(LEFT(TEXT(I5,"ddd"),1))</f>
        <v>M</v>
      </c>
      <c r="J6" s="10" t="str">
        <f t="shared" si="7"/>
        <v>M</v>
      </c>
      <c r="K6" s="10" t="str">
        <f t="shared" si="7"/>
        <v>J</v>
      </c>
      <c r="L6" s="10" t="str">
        <f t="shared" si="7"/>
        <v>V</v>
      </c>
      <c r="M6" s="10" t="str">
        <f t="shared" si="7"/>
        <v>S</v>
      </c>
      <c r="N6" s="10" t="str">
        <f t="shared" si="7"/>
        <v>D</v>
      </c>
      <c r="O6" s="10" t="str">
        <f t="shared" si="7"/>
        <v>L</v>
      </c>
      <c r="P6" s="10" t="str">
        <f t="shared" si="7"/>
        <v>M</v>
      </c>
      <c r="Q6" s="10" t="str">
        <f t="shared" si="7"/>
        <v>M</v>
      </c>
      <c r="R6" s="10" t="str">
        <f t="shared" si="7"/>
        <v>J</v>
      </c>
      <c r="S6" s="10" t="str">
        <f t="shared" si="7"/>
        <v>V</v>
      </c>
      <c r="T6" s="10" t="str">
        <f t="shared" si="7"/>
        <v>S</v>
      </c>
      <c r="U6" s="10" t="str">
        <f t="shared" si="7"/>
        <v>D</v>
      </c>
      <c r="V6" s="10" t="str">
        <f t="shared" si="7"/>
        <v>L</v>
      </c>
      <c r="W6" s="10" t="str">
        <f t="shared" si="7"/>
        <v>M</v>
      </c>
      <c r="X6" s="10" t="str">
        <f t="shared" si="7"/>
        <v>M</v>
      </c>
      <c r="Y6" s="10" t="str">
        <f t="shared" si="7"/>
        <v>J</v>
      </c>
      <c r="Z6" s="10" t="str">
        <f t="shared" si="7"/>
        <v>V</v>
      </c>
      <c r="AA6" s="10" t="str">
        <f t="shared" si="7"/>
        <v>S</v>
      </c>
      <c r="AB6" s="10" t="str">
        <f t="shared" si="7"/>
        <v>D</v>
      </c>
      <c r="AC6" s="10" t="str">
        <f t="shared" si="7"/>
        <v>L</v>
      </c>
      <c r="AD6" s="10" t="str">
        <f t="shared" si="7"/>
        <v>M</v>
      </c>
      <c r="AE6" s="10" t="str">
        <f t="shared" si="7"/>
        <v>M</v>
      </c>
      <c r="AF6" s="10" t="str">
        <f t="shared" si="7"/>
        <v>J</v>
      </c>
      <c r="AG6" s="10" t="str">
        <f t="shared" si="7"/>
        <v>V</v>
      </c>
      <c r="AH6" s="10" t="str">
        <f t="shared" si="7"/>
        <v>S</v>
      </c>
      <c r="AI6" s="10" t="str">
        <f t="shared" si="7"/>
        <v>D</v>
      </c>
      <c r="AJ6" s="11"/>
      <c r="AK6" s="11" t="s">
        <v>15</v>
      </c>
      <c r="AL6" s="37"/>
    </row>
    <row r="7" spans="1:38" x14ac:dyDescent="0.35">
      <c r="A7" s="15" t="s">
        <v>16</v>
      </c>
      <c r="B7" s="16"/>
      <c r="C7" s="17"/>
      <c r="D7" s="18"/>
      <c r="E7" s="18"/>
      <c r="F7" s="19"/>
      <c r="G7" s="26"/>
      <c r="H7" s="28"/>
      <c r="I7" s="2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30"/>
      <c r="AJ7" s="11"/>
      <c r="AK7" s="11" t="s">
        <v>17</v>
      </c>
      <c r="AL7" s="37"/>
    </row>
    <row r="8" spans="1:38" x14ac:dyDescent="0.35">
      <c r="A8" s="14" t="s">
        <v>18</v>
      </c>
      <c r="B8" s="12" t="s">
        <v>19</v>
      </c>
      <c r="C8" s="5">
        <v>1</v>
      </c>
      <c r="D8" s="6">
        <v>46062</v>
      </c>
      <c r="E8" s="6">
        <v>46065</v>
      </c>
      <c r="F8" s="7">
        <f>E8-D8+1</f>
        <v>4</v>
      </c>
      <c r="G8" s="26"/>
      <c r="H8" s="2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31"/>
      <c r="AJ8" s="11"/>
      <c r="AK8" s="11" t="s">
        <v>19</v>
      </c>
      <c r="AL8" s="37"/>
    </row>
    <row r="9" spans="1:38" x14ac:dyDescent="0.35">
      <c r="A9" s="24" t="s">
        <v>20</v>
      </c>
      <c r="B9" s="20" t="s">
        <v>19</v>
      </c>
      <c r="C9" s="21">
        <v>1</v>
      </c>
      <c r="D9" s="22">
        <v>46062</v>
      </c>
      <c r="E9" s="22">
        <v>46065</v>
      </c>
      <c r="F9" s="23">
        <f>E9-D9+1</f>
        <v>4</v>
      </c>
      <c r="G9" s="26"/>
      <c r="H9" s="2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31"/>
      <c r="AJ9" s="37"/>
      <c r="AK9" s="37"/>
      <c r="AL9" s="37"/>
    </row>
    <row r="10" spans="1:38" x14ac:dyDescent="0.35">
      <c r="A10" s="4" t="s">
        <v>21</v>
      </c>
      <c r="B10" s="12" t="s">
        <v>15</v>
      </c>
      <c r="C10" s="5">
        <v>1</v>
      </c>
      <c r="D10" s="6">
        <v>46071</v>
      </c>
      <c r="E10" s="6">
        <v>46081</v>
      </c>
      <c r="F10" s="7">
        <f t="shared" ref="F10" si="8">E10-D10+1</f>
        <v>11</v>
      </c>
      <c r="G10" s="26"/>
      <c r="H10" s="2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31"/>
      <c r="AJ10" s="37"/>
      <c r="AK10" s="37"/>
      <c r="AL10" s="37"/>
    </row>
    <row r="11" spans="1:38" x14ac:dyDescent="0.35">
      <c r="A11" s="24" t="s">
        <v>22</v>
      </c>
      <c r="B11" s="20" t="s">
        <v>19</v>
      </c>
      <c r="C11" s="21">
        <v>1</v>
      </c>
      <c r="D11" s="22">
        <v>46076</v>
      </c>
      <c r="E11" s="22">
        <v>46078</v>
      </c>
      <c r="F11" s="23">
        <f t="shared" ref="F11:F16" si="9">E11-D11+1</f>
        <v>3</v>
      </c>
      <c r="G11" s="26"/>
      <c r="H11" s="29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31"/>
      <c r="AJ11" s="37"/>
      <c r="AK11" s="37"/>
      <c r="AL11" s="37"/>
    </row>
    <row r="12" spans="1:38" x14ac:dyDescent="0.35">
      <c r="A12" s="41" t="s">
        <v>23</v>
      </c>
      <c r="B12" s="38" t="s">
        <v>17</v>
      </c>
      <c r="C12" s="5">
        <v>1</v>
      </c>
      <c r="D12" s="6">
        <v>46071</v>
      </c>
      <c r="E12" s="6">
        <v>46074</v>
      </c>
      <c r="F12" s="7">
        <f t="shared" si="9"/>
        <v>4</v>
      </c>
      <c r="G12" s="26"/>
      <c r="H12" s="29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31"/>
    </row>
    <row r="13" spans="1:38" x14ac:dyDescent="0.35">
      <c r="A13" s="24" t="s">
        <v>24</v>
      </c>
      <c r="B13" s="39" t="s">
        <v>8</v>
      </c>
      <c r="C13" s="21">
        <v>1</v>
      </c>
      <c r="D13" s="22">
        <v>46084</v>
      </c>
      <c r="E13" s="22">
        <v>46089</v>
      </c>
      <c r="F13" s="23">
        <f t="shared" si="9"/>
        <v>6</v>
      </c>
      <c r="G13" s="26"/>
      <c r="H13" s="29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31"/>
    </row>
    <row r="14" spans="1:38" x14ac:dyDescent="0.35">
      <c r="A14" s="4" t="s">
        <v>25</v>
      </c>
      <c r="B14" s="38" t="s">
        <v>19</v>
      </c>
      <c r="C14" s="5">
        <v>0.5</v>
      </c>
      <c r="D14" s="6">
        <v>46075</v>
      </c>
      <c r="E14" s="6">
        <v>46084</v>
      </c>
      <c r="F14" s="7">
        <f t="shared" si="9"/>
        <v>10</v>
      </c>
      <c r="G14" s="26"/>
      <c r="H14" s="29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31"/>
    </row>
    <row r="15" spans="1:38" x14ac:dyDescent="0.35">
      <c r="A15" s="24" t="s">
        <v>26</v>
      </c>
      <c r="B15" s="39" t="s">
        <v>6</v>
      </c>
      <c r="C15" s="21">
        <v>1</v>
      </c>
      <c r="D15" s="22">
        <v>46089</v>
      </c>
      <c r="E15" s="22">
        <v>46091</v>
      </c>
      <c r="F15" s="23">
        <f t="shared" si="9"/>
        <v>3</v>
      </c>
      <c r="G15" s="26"/>
      <c r="H15" s="29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31"/>
    </row>
    <row r="16" spans="1:38" x14ac:dyDescent="0.35">
      <c r="A16" s="4" t="s">
        <v>27</v>
      </c>
      <c r="B16" s="38" t="s">
        <v>19</v>
      </c>
      <c r="C16" s="5">
        <v>1</v>
      </c>
      <c r="D16" s="6">
        <v>46102</v>
      </c>
      <c r="E16" s="6">
        <v>46106</v>
      </c>
      <c r="F16" s="7">
        <f t="shared" si="9"/>
        <v>5</v>
      </c>
      <c r="G16" s="26"/>
      <c r="H16" s="2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31"/>
    </row>
    <row r="17" spans="1:35" x14ac:dyDescent="0.35">
      <c r="A17" s="40" t="s">
        <v>28</v>
      </c>
      <c r="B17" s="39"/>
      <c r="C17" s="21"/>
      <c r="D17" s="22"/>
      <c r="E17" s="22"/>
      <c r="F17" s="23"/>
      <c r="G17" s="26"/>
      <c r="H17" s="2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31"/>
    </row>
    <row r="18" spans="1:35" x14ac:dyDescent="0.35">
      <c r="A18" s="4" t="s">
        <v>29</v>
      </c>
      <c r="B18" s="38" t="s">
        <v>15</v>
      </c>
      <c r="C18" s="5">
        <v>1</v>
      </c>
      <c r="D18" s="6">
        <v>46120</v>
      </c>
      <c r="E18" s="6">
        <v>46135</v>
      </c>
      <c r="F18" s="7">
        <f>E18-D18+1</f>
        <v>16</v>
      </c>
      <c r="G18" s="26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31"/>
    </row>
    <row r="19" spans="1:35" x14ac:dyDescent="0.35">
      <c r="A19" s="24" t="s">
        <v>30</v>
      </c>
      <c r="B19" s="39" t="s">
        <v>6</v>
      </c>
      <c r="C19" s="21">
        <v>1</v>
      </c>
      <c r="D19" s="22">
        <v>46119</v>
      </c>
      <c r="E19" s="22">
        <v>46156</v>
      </c>
      <c r="F19" s="23">
        <f>E19-D19+1</f>
        <v>38</v>
      </c>
      <c r="G19" s="26"/>
      <c r="H19" s="2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1"/>
    </row>
    <row r="20" spans="1:35" x14ac:dyDescent="0.35">
      <c r="A20" s="4" t="s">
        <v>31</v>
      </c>
      <c r="B20" s="38" t="s">
        <v>6</v>
      </c>
      <c r="C20" s="5">
        <v>1</v>
      </c>
      <c r="D20" s="6">
        <v>46143</v>
      </c>
      <c r="E20" s="6">
        <v>46156</v>
      </c>
      <c r="F20" s="7">
        <f>E20-D20+1</f>
        <v>14</v>
      </c>
      <c r="G20" s="26"/>
      <c r="H20" s="2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31"/>
    </row>
    <row r="21" spans="1:35" x14ac:dyDescent="0.35">
      <c r="A21" s="24" t="s">
        <v>32</v>
      </c>
      <c r="B21" s="39" t="s">
        <v>19</v>
      </c>
      <c r="C21" s="21">
        <v>1</v>
      </c>
      <c r="D21" s="22">
        <v>46140</v>
      </c>
      <c r="E21" s="22">
        <v>46143</v>
      </c>
      <c r="F21" s="23">
        <f>E21-D21+1</f>
        <v>4</v>
      </c>
      <c r="H21" s="29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31"/>
    </row>
    <row r="22" spans="1:35" x14ac:dyDescent="0.35">
      <c r="A22" s="42" t="s">
        <v>33</v>
      </c>
      <c r="B22" s="38"/>
      <c r="C22" s="5"/>
      <c r="D22" s="6"/>
      <c r="E22" s="6"/>
      <c r="F22" s="7"/>
      <c r="H22" s="29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31"/>
    </row>
    <row r="23" spans="1:35" x14ac:dyDescent="0.35">
      <c r="A23" s="24" t="s">
        <v>34</v>
      </c>
      <c r="B23" s="39" t="s">
        <v>17</v>
      </c>
      <c r="C23" s="21">
        <v>1</v>
      </c>
      <c r="D23" s="22">
        <v>46147</v>
      </c>
      <c r="E23" s="22">
        <v>46150</v>
      </c>
      <c r="F23" s="23">
        <f>E23-D23+1</f>
        <v>4</v>
      </c>
      <c r="H23" s="29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31"/>
    </row>
    <row r="24" spans="1:35" x14ac:dyDescent="0.35">
      <c r="A24" s="4" t="s">
        <v>35</v>
      </c>
      <c r="B24" s="38" t="s">
        <v>8</v>
      </c>
      <c r="C24" s="5">
        <v>1</v>
      </c>
      <c r="D24" s="6">
        <v>46150</v>
      </c>
      <c r="E24" s="6">
        <v>46153</v>
      </c>
      <c r="F24" s="7">
        <f>E24-D24+1</f>
        <v>4</v>
      </c>
      <c r="H24" s="29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31"/>
    </row>
    <row r="25" spans="1:35" x14ac:dyDescent="0.35">
      <c r="A25" s="24" t="s">
        <v>36</v>
      </c>
      <c r="B25" s="39" t="s">
        <v>19</v>
      </c>
      <c r="C25" s="21">
        <v>1</v>
      </c>
      <c r="D25" s="22">
        <v>46149</v>
      </c>
      <c r="E25" s="22">
        <v>46160</v>
      </c>
      <c r="F25" s="23">
        <f>E25-D25+1</f>
        <v>12</v>
      </c>
      <c r="H25" s="29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31"/>
    </row>
    <row r="26" spans="1:35" x14ac:dyDescent="0.35">
      <c r="A26" t="s">
        <v>37</v>
      </c>
      <c r="B26" s="38" t="s">
        <v>19</v>
      </c>
      <c r="C26" s="5">
        <v>1</v>
      </c>
      <c r="D26" s="6">
        <v>46154</v>
      </c>
      <c r="E26" s="6">
        <v>46159</v>
      </c>
      <c r="F26" s="7">
        <f>E26-D26+1</f>
        <v>6</v>
      </c>
      <c r="H26" s="29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31"/>
    </row>
    <row r="27" spans="1:35" x14ac:dyDescent="0.35">
      <c r="A27" s="24" t="s">
        <v>38</v>
      </c>
      <c r="B27" s="39" t="s">
        <v>15</v>
      </c>
      <c r="C27" s="21">
        <v>1</v>
      </c>
      <c r="D27" s="22">
        <v>46152</v>
      </c>
      <c r="E27" s="22">
        <v>46156</v>
      </c>
      <c r="F27" s="23">
        <f>E27-D27+1</f>
        <v>5</v>
      </c>
      <c r="H27" s="29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31"/>
    </row>
    <row r="28" spans="1:35" x14ac:dyDescent="0.35">
      <c r="B28" s="43"/>
      <c r="C28" s="44"/>
      <c r="D28" s="45"/>
      <c r="E28" s="45"/>
      <c r="F28" s="26"/>
    </row>
    <row r="29" spans="1:35" x14ac:dyDescent="0.35">
      <c r="A29" s="46"/>
      <c r="B29" s="43"/>
      <c r="C29" s="44"/>
      <c r="D29" s="45"/>
      <c r="E29" s="45"/>
      <c r="F29" s="26"/>
    </row>
    <row r="30" spans="1:35" x14ac:dyDescent="0.35">
      <c r="A30" s="47"/>
      <c r="B30" s="43"/>
      <c r="C30" s="44"/>
      <c r="D30" s="45"/>
      <c r="E30" s="45"/>
      <c r="F30" s="26"/>
    </row>
    <row r="31" spans="1:35" x14ac:dyDescent="0.35">
      <c r="A31" s="46"/>
      <c r="B31" s="43"/>
      <c r="C31" s="44"/>
      <c r="D31" s="45"/>
      <c r="E31" s="45"/>
      <c r="F31" s="26"/>
    </row>
    <row r="32" spans="1:35" x14ac:dyDescent="0.35">
      <c r="B32" s="43"/>
      <c r="C32" s="44"/>
      <c r="D32" s="45"/>
      <c r="E32" s="45"/>
      <c r="F32" s="26"/>
    </row>
    <row r="33" spans="1:6" x14ac:dyDescent="0.35">
      <c r="A33" s="48"/>
      <c r="B33" s="43"/>
      <c r="C33" s="44"/>
      <c r="D33" s="45"/>
      <c r="E33" s="45"/>
      <c r="F33" s="26"/>
    </row>
    <row r="34" spans="1:6" x14ac:dyDescent="0.35">
      <c r="A34" s="48"/>
      <c r="B34" s="43"/>
      <c r="C34" s="44"/>
      <c r="D34" s="45"/>
      <c r="E34" s="45"/>
      <c r="F34" s="26"/>
    </row>
    <row r="35" spans="1:6" x14ac:dyDescent="0.35">
      <c r="B35" s="43"/>
    </row>
    <row r="36" spans="1:6" x14ac:dyDescent="0.35">
      <c r="B36" s="13"/>
    </row>
    <row r="37" spans="1:6" x14ac:dyDescent="0.35">
      <c r="B37" s="13"/>
    </row>
    <row r="38" spans="1:6" x14ac:dyDescent="0.35">
      <c r="B38" s="13"/>
    </row>
    <row r="39" spans="1:6" x14ac:dyDescent="0.35">
      <c r="B39" s="13"/>
    </row>
    <row r="40" spans="1:6" x14ac:dyDescent="0.35">
      <c r="B40" s="13"/>
    </row>
    <row r="41" spans="1:6" x14ac:dyDescent="0.35">
      <c r="B41" s="13"/>
    </row>
    <row r="42" spans="1:6" x14ac:dyDescent="0.35">
      <c r="B42" s="13"/>
    </row>
    <row r="43" spans="1:6" x14ac:dyDescent="0.35">
      <c r="B43" s="13"/>
    </row>
    <row r="44" spans="1:6" x14ac:dyDescent="0.35">
      <c r="B44" s="13"/>
    </row>
    <row r="45" spans="1:6" x14ac:dyDescent="0.35">
      <c r="B45" s="13"/>
    </row>
  </sheetData>
  <mergeCells count="9">
    <mergeCell ref="A1:D1"/>
    <mergeCell ref="AC4:AI4"/>
    <mergeCell ref="A2:D2"/>
    <mergeCell ref="B4:C4"/>
    <mergeCell ref="D5:E5"/>
    <mergeCell ref="B5:C5"/>
    <mergeCell ref="H4:N4"/>
    <mergeCell ref="O4:U4"/>
    <mergeCell ref="V4:AB4"/>
  </mergeCells>
  <phoneticPr fontId="5" type="noConversion"/>
  <conditionalFormatting sqref="C7:C34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{527FC505-0B1C-43E0-BE74-90F3CC40A7B2}</x14:id>
        </ext>
      </extLst>
    </cfRule>
  </conditionalFormatting>
  <conditionalFormatting sqref="H7:AI37">
    <cfRule type="expression" dxfId="1" priority="1">
      <formula>AND(H$5&gt;=$D7,H$5&lt;=((($E7-$D7+1)*$C7)+$D7-1))</formula>
    </cfRule>
    <cfRule type="expression" dxfId="0" priority="2">
      <formula>AND(H$5&gt;=$D7,H$5&lt;=$E7)</formula>
    </cfRule>
  </conditionalFormatting>
  <dataValidations count="1">
    <dataValidation type="list" allowBlank="1" showInputMessage="1" showErrorMessage="1" sqref="B7:B45" xr:uid="{3A0D03B0-FCBF-40D5-994A-BA8BE9722F6B}">
      <formula1>$AK$4:$AK$8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croll Bar 1">
              <controlPr defaultSize="0" autoPict="0">
                <anchor moveWithCells="1">
                  <from>
                    <xdr:col>3</xdr:col>
                    <xdr:colOff>6350</xdr:colOff>
                    <xdr:row>3</xdr:row>
                    <xdr:rowOff>6350</xdr:rowOff>
                  </from>
                  <to>
                    <xdr:col>4</xdr:col>
                    <xdr:colOff>768350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7FC505-0B1C-43E0-BE74-90F3CC40A7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C7:C34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Álvaro Gonzalez Gomez</dc:creator>
  <cp:keywords/>
  <dc:description/>
  <cp:lastModifiedBy>Álvaro Gonzalez Gomez</cp:lastModifiedBy>
  <cp:revision/>
  <dcterms:created xsi:type="dcterms:W3CDTF">2025-03-06T15:29:38Z</dcterms:created>
  <dcterms:modified xsi:type="dcterms:W3CDTF">2026-05-20T09:43:54Z</dcterms:modified>
  <cp:category/>
  <cp:contentStatus/>
</cp:coreProperties>
</file>